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filterPrivacy="1" codeName="ThisWorkbook"/>
  <xr:revisionPtr revIDLastSave="0" documentId="13_ncr:1_{D4C10402-FA1E-4DB6-AF17-EA1CF27ADA26}" xr6:coauthVersionLast="32" xr6:coauthVersionMax="32" xr10:uidLastSave="{00000000-0000-0000-0000-000000000000}"/>
  <bookViews>
    <workbookView xWindow="0" yWindow="0" windowWidth="22260" windowHeight="12648" xr2:uid="{00000000-000D-0000-FFFF-FFFF00000000}"/>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8" i="1" l="1"/>
  <c r="D67" i="1"/>
  <c r="D66" i="1"/>
  <c r="D65" i="1"/>
  <c r="D64" i="1"/>
  <c r="D63" i="1"/>
  <c r="D62" i="1"/>
  <c r="D61" i="1"/>
  <c r="D60" i="1"/>
  <c r="D59" i="1"/>
  <c r="D58" i="1"/>
  <c r="D57" i="1"/>
  <c r="D56" i="1"/>
  <c r="D55" i="1"/>
  <c r="D54" i="1"/>
  <c r="D53" i="1"/>
  <c r="D52" i="1"/>
  <c r="D51" i="1"/>
  <c r="D50" i="1"/>
  <c r="D49" i="1"/>
  <c r="D48" i="1"/>
  <c r="C49" i="1"/>
  <c r="C50" i="1"/>
  <c r="C51" i="1"/>
  <c r="C52" i="1"/>
  <c r="C53" i="1"/>
  <c r="C54" i="1"/>
  <c r="C55" i="1"/>
  <c r="C56" i="1"/>
  <c r="C57" i="1"/>
  <c r="C58" i="1"/>
  <c r="C59" i="1"/>
  <c r="C60" i="1"/>
  <c r="C61" i="1"/>
  <c r="C62" i="1"/>
  <c r="C63" i="1"/>
  <c r="C64" i="1"/>
  <c r="C65" i="1"/>
  <c r="C66" i="1"/>
  <c r="C67" i="1"/>
  <c r="C68" i="1"/>
  <c r="C48" i="1"/>
  <c r="C44" i="1" a="1"/>
  <c r="C15" i="1" a="1"/>
  <c r="C44" i="1" l="1"/>
  <c r="G44" i="1"/>
  <c r="D44" i="1"/>
  <c r="H44" i="1"/>
  <c r="F44" i="1"/>
  <c r="E44" i="1"/>
  <c r="I44" i="1"/>
  <c r="D15" i="1"/>
  <c r="I15" i="1"/>
  <c r="F15" i="1"/>
  <c r="H15" i="1"/>
  <c r="C15" i="1"/>
  <c r="E15" i="1"/>
  <c r="G15" i="1"/>
</calcChain>
</file>

<file path=xl/sharedStrings.xml><?xml version="1.0" encoding="utf-8"?>
<sst xmlns="http://schemas.openxmlformats.org/spreadsheetml/2006/main" count="24" uniqueCount="21">
  <si>
    <t>※配列数式として関数を指定する場合は、Ctrl+Shift+Enterで。</t>
    <rPh sb="1" eb="3">
      <t>ハイレツ</t>
    </rPh>
    <rPh sb="3" eb="5">
      <t>スウシキ</t>
    </rPh>
    <rPh sb="8" eb="10">
      <t>カンスウ</t>
    </rPh>
    <rPh sb="11" eb="13">
      <t>シテイ</t>
    </rPh>
    <rPh sb="15" eb="17">
      <t>バアイ</t>
    </rPh>
    <phoneticPr fontId="1"/>
  </si>
  <si>
    <t>多項式近似曲線を求める。(最小二乗法)</t>
    <rPh sb="0" eb="3">
      <t>タコウシキ</t>
    </rPh>
    <rPh sb="3" eb="5">
      <t>キンジ</t>
    </rPh>
    <rPh sb="5" eb="7">
      <t>キョクセン</t>
    </rPh>
    <rPh sb="8" eb="9">
      <t>モト</t>
    </rPh>
    <rPh sb="13" eb="15">
      <t>サイショウ</t>
    </rPh>
    <rPh sb="15" eb="18">
      <t>ジジョウホウ</t>
    </rPh>
    <phoneticPr fontId="1"/>
  </si>
  <si>
    <t>多項式の次数は戻り値の範囲として与えているセルの個数で指定される。</t>
    <rPh sb="0" eb="3">
      <t>タコウシキ</t>
    </rPh>
    <rPh sb="4" eb="6">
      <t>ジスウ</t>
    </rPh>
    <rPh sb="7" eb="8">
      <t>モド</t>
    </rPh>
    <rPh sb="9" eb="10">
      <t>チ</t>
    </rPh>
    <rPh sb="11" eb="13">
      <t>ハンイ</t>
    </rPh>
    <rPh sb="16" eb="17">
      <t>アタ</t>
    </rPh>
    <rPh sb="24" eb="26">
      <t>コスウ</t>
    </rPh>
    <rPh sb="27" eb="29">
      <t>シテイ</t>
    </rPh>
    <phoneticPr fontId="1"/>
  </si>
  <si>
    <t>計算方法についてはコロナ社「数値解析入門」(片岡,安田,高野,芝原)2002 pp78-79より。</t>
    <rPh sb="0" eb="2">
      <t>ケイサン</t>
    </rPh>
    <rPh sb="2" eb="4">
      <t>ホウホウ</t>
    </rPh>
    <rPh sb="12" eb="13">
      <t>シャ</t>
    </rPh>
    <rPh sb="14" eb="16">
      <t>スウチ</t>
    </rPh>
    <rPh sb="16" eb="18">
      <t>カイセキ</t>
    </rPh>
    <rPh sb="18" eb="20">
      <t>ニュウモン</t>
    </rPh>
    <rPh sb="22" eb="24">
      <t>カタオカ</t>
    </rPh>
    <rPh sb="25" eb="27">
      <t>ヤスダ</t>
    </rPh>
    <rPh sb="28" eb="30">
      <t>タカノ</t>
    </rPh>
    <rPh sb="31" eb="33">
      <t>シバハラ</t>
    </rPh>
    <phoneticPr fontId="1"/>
  </si>
  <si>
    <t>xとyに近似を求める元となるデータを入力する。</t>
    <rPh sb="4" eb="6">
      <t>キンジ</t>
    </rPh>
    <rPh sb="7" eb="8">
      <t>モト</t>
    </rPh>
    <rPh sb="10" eb="11">
      <t>モト</t>
    </rPh>
    <rPh sb="18" eb="20">
      <t>ニュウリョク</t>
    </rPh>
    <phoneticPr fontId="1"/>
  </si>
  <si>
    <t>xi</t>
    <phoneticPr fontId="1"/>
  </si>
  <si>
    <t>yi</t>
    <phoneticPr fontId="1"/>
  </si>
  <si>
    <t>ai</t>
    <phoneticPr fontId="1"/>
  </si>
  <si>
    <t>i</t>
    <phoneticPr fontId="1"/>
  </si>
  <si>
    <t>なお関数「多項式近似曲線を求める」はセルからのデータの読込とセルへのデータの書込のみ行っている。</t>
    <rPh sb="2" eb="4">
      <t>カンスウ</t>
    </rPh>
    <rPh sb="5" eb="12">
      <t>タコウシキキンジキョクセン</t>
    </rPh>
    <rPh sb="13" eb="14">
      <t>モト</t>
    </rPh>
    <rPh sb="27" eb="28">
      <t>ヨ</t>
    </rPh>
    <rPh sb="28" eb="29">
      <t>コ</t>
    </rPh>
    <rPh sb="38" eb="40">
      <t>カキコミ</t>
    </rPh>
    <rPh sb="42" eb="43">
      <t>オコナ</t>
    </rPh>
    <phoneticPr fontId="1"/>
  </si>
  <si>
    <t>行列計算は内部関数getPAで実施している。</t>
    <rPh sb="0" eb="2">
      <t>ギョウレツ</t>
    </rPh>
    <rPh sb="2" eb="4">
      <t>ケイサン</t>
    </rPh>
    <rPh sb="5" eb="7">
      <t>ナイブ</t>
    </rPh>
    <rPh sb="7" eb="9">
      <t>カンスウ</t>
    </rPh>
    <rPh sb="15" eb="17">
      <t>ジッシ</t>
    </rPh>
    <phoneticPr fontId="1"/>
  </si>
  <si>
    <t>年[平成]</t>
    <rPh sb="0" eb="1">
      <t>ネン</t>
    </rPh>
    <rPh sb="2" eb="4">
      <t>ヘイセイ</t>
    </rPh>
    <phoneticPr fontId="1"/>
  </si>
  <si>
    <t>人口[人]</t>
    <rPh sb="0" eb="2">
      <t>ジンコウ</t>
    </rPh>
    <rPh sb="3" eb="4">
      <t>ヒト</t>
    </rPh>
    <phoneticPr fontId="1"/>
  </si>
  <si>
    <t>y</t>
    <phoneticPr fontId="1"/>
  </si>
  <si>
    <t>x</t>
    <phoneticPr fontId="1"/>
  </si>
  <si>
    <t>このサンプルデータは「平成26年中の人口の動き」(City of Kobe)(ライセンス：CC-BY)から抜粋しました。</t>
    <rPh sb="53" eb="55">
      <t>バッスイ</t>
    </rPh>
    <phoneticPr fontId="1"/>
  </si>
  <si>
    <t>関数近似する。</t>
    <rPh sb="0" eb="2">
      <t>カンスウ</t>
    </rPh>
    <rPh sb="2" eb="4">
      <t>キンジ</t>
    </rPh>
    <phoneticPr fontId="1"/>
  </si>
  <si>
    <t>i</t>
    <phoneticPr fontId="1"/>
  </si>
  <si>
    <t>ai</t>
    <phoneticPr fontId="1"/>
  </si>
  <si>
    <t>関数近似から復元してみる。</t>
    <rPh sb="0" eb="2">
      <t>カンスウ</t>
    </rPh>
    <rPh sb="2" eb="4">
      <t>キンジ</t>
    </rPh>
    <rPh sb="6" eb="8">
      <t>フクゲン</t>
    </rPh>
    <phoneticPr fontId="1"/>
  </si>
  <si>
    <t>y1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</si>
</sst>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E+00"/>
  </numFmts>
  <fonts count="6">
    <font>
      <sz val="11"/>
      <color theme="1"/>
      <name val="Yu Gothic"/>
      <family val="2"/>
      <scheme val="minor"/>
    </font>
    <font>
      <sz val="6"/>
      <name val="Yu Gothic"/>
      <family val="3"/>
      <charset val="128"/>
      <scheme val="minor"/>
    </font>
    <font>
      <sz val="10"/>
      <color theme="1"/>
      <name val="ＭＳ ゴシック"/>
      <family val="3"/>
      <charset val="128"/>
    </font>
    <font>
      <sz val="9"/>
      <color theme="1"/>
      <name val="ＭＳ ゴシック"/>
      <family val="3"/>
      <charset val="128"/>
    </font>
    <font>
      <sz val="11"/>
      <name val="明朝"/>
      <family val="1"/>
      <charset val="128"/>
    </font>
    <font>
      <sz val="11"/>
      <name val="ＭＳ Ｐゴシック"/>
      <family val="3"/>
      <charset val="128"/>
    </font>
  </fonts>
  <fills count="2">
    <fill>
      <patternFill patternType="none"/>
    </fill>
    <fill>
      <patternFill patternType="gray125"/>
    </fill>
  </fills>
  <borders count="1">
    <border>
      <left/>
      <right/>
      <top/>
      <bottom/>
      <diagonal/>
    </border>
  </borders>
  <cellStyleXfs count="6">
    <xf numFmtId="0" fontId="0" fillId="0" borderId="0"/>
    <xf numFmtId="0" fontId="4" fillId="0" borderId="0"/>
    <xf numFmtId="38" fontId="4" fillId="0" borderId="0" applyFont="0" applyFill="0" applyBorder="0" applyAlignment="0" applyProtection="0"/>
    <xf numFmtId="38" fontId="4" fillId="0" borderId="0" applyFont="0" applyFill="0" applyBorder="0" applyAlignment="0" applyProtection="0"/>
    <xf numFmtId="38" fontId="5" fillId="0" borderId="0" applyFont="0" applyFill="0" applyBorder="0" applyAlignment="0" applyProtection="0"/>
    <xf numFmtId="0" fontId="5" fillId="0" borderId="0"/>
  </cellStyleXfs>
  <cellXfs count="5">
    <xf numFmtId="0" fontId="0" fillId="0" borderId="0" xfId="0"/>
    <xf numFmtId="0" fontId="2" fillId="0" borderId="0" xfId="0" applyFont="1"/>
    <xf numFmtId="0" fontId="3" fillId="0" borderId="0" xfId="0" applyFont="1" applyAlignment="1">
      <alignment vertical="center"/>
    </xf>
    <xf numFmtId="3" fontId="2" fillId="0" borderId="0" xfId="0" applyNumberFormat="1" applyFont="1"/>
    <xf numFmtId="176" fontId="2" fillId="0" borderId="0" xfId="0" applyNumberFormat="1" applyFont="1"/>
  </cellXfs>
  <cellStyles count="6">
    <cellStyle name="桁区切り 2" xfId="3" xr:uid="{00000000-0005-0000-0000-000031000000}"/>
    <cellStyle name="桁区切り 3" xfId="4" xr:uid="{00000000-0005-0000-0000-000032000000}"/>
    <cellStyle name="桁区切り 4" xfId="2" xr:uid="{00000000-0005-0000-0000-000030000000}"/>
    <cellStyle name="標準" xfId="0" builtinId="0"/>
    <cellStyle name="標準 2" xfId="5" xr:uid="{00000000-0005-0000-0000-000034000000}"/>
    <cellStyle name="標準 3" xfId="1" xr:uid="{00000000-0005-0000-0000-00003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Sheet1!$D$18</c:f>
              <c:strCache>
                <c:ptCount val="1"/>
                <c:pt idx="0">
                  <c:v>人口[人]</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0"/>
            <c:dispEq val="1"/>
            <c:trendlineLbl>
              <c:layout>
                <c:manualLayout>
                  <c:x val="8.3059301250845305E-2"/>
                  <c:y val="0.70183854801818601"/>
                </c:manualLayout>
              </c:layout>
              <c:numFmt formatCode="0.00000E+00" sourceLinked="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trendlineLbl>
          </c:trendline>
          <c:xVal>
            <c:numRef>
              <c:f>Sheet1!$C$19:$C$39</c:f>
              <c:numCache>
                <c:formatCode>General</c:formatCode>
                <c:ptCount val="21"/>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numCache>
            </c:numRef>
          </c:xVal>
          <c:yVal>
            <c:numRef>
              <c:f>Sheet1!$D$19:$D$39</c:f>
              <c:numCache>
                <c:formatCode>#,##0</c:formatCode>
                <c:ptCount val="21"/>
                <c:pt idx="0">
                  <c:v>1518982</c:v>
                </c:pt>
                <c:pt idx="1">
                  <c:v>1423792</c:v>
                </c:pt>
                <c:pt idx="2">
                  <c:v>1434572</c:v>
                </c:pt>
                <c:pt idx="3">
                  <c:v>1454632</c:v>
                </c:pt>
                <c:pt idx="4">
                  <c:v>1475342</c:v>
                </c:pt>
                <c:pt idx="5">
                  <c:v>1483655</c:v>
                </c:pt>
                <c:pt idx="6">
                  <c:v>1493398</c:v>
                </c:pt>
                <c:pt idx="7">
                  <c:v>1503480</c:v>
                </c:pt>
                <c:pt idx="8">
                  <c:v>1510662</c:v>
                </c:pt>
                <c:pt idx="9">
                  <c:v>1516155</c:v>
                </c:pt>
                <c:pt idx="10">
                  <c:v>1520267</c:v>
                </c:pt>
                <c:pt idx="11">
                  <c:v>1525393</c:v>
                </c:pt>
                <c:pt idx="12">
                  <c:v>1529817</c:v>
                </c:pt>
                <c:pt idx="13">
                  <c:v>1532428</c:v>
                </c:pt>
                <c:pt idx="14">
                  <c:v>1536433</c:v>
                </c:pt>
                <c:pt idx="15">
                  <c:v>1541214</c:v>
                </c:pt>
                <c:pt idx="16">
                  <c:v>1544200</c:v>
                </c:pt>
                <c:pt idx="17">
                  <c:v>1544496</c:v>
                </c:pt>
                <c:pt idx="18">
                  <c:v>1542128</c:v>
                </c:pt>
                <c:pt idx="19">
                  <c:v>1539751</c:v>
                </c:pt>
                <c:pt idx="20">
                  <c:v>1537864</c:v>
                </c:pt>
              </c:numCache>
            </c:numRef>
          </c:yVal>
          <c:smooth val="0"/>
          <c:extLst>
            <c:ext xmlns:c16="http://schemas.microsoft.com/office/drawing/2014/chart" uri="{C3380CC4-5D6E-409C-BE32-E72D297353CC}">
              <c16:uniqueId val="{00000000-63DB-4DB4-89F2-1DCCE082E31A}"/>
            </c:ext>
          </c:extLst>
        </c:ser>
        <c:ser>
          <c:idx val="1"/>
          <c:order val="1"/>
          <c:tx>
            <c:v>関数近似</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Sheet1!$C$48:$C$68</c:f>
              <c:numCache>
                <c:formatCode>General</c:formatCode>
                <c:ptCount val="21"/>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numCache>
            </c:numRef>
          </c:xVal>
          <c:yVal>
            <c:numRef>
              <c:f>Sheet1!$D$48:$D$68</c:f>
              <c:numCache>
                <c:formatCode>0.00000E+00</c:formatCode>
                <c:ptCount val="21"/>
                <c:pt idx="0">
                  <c:v>1509868.440453307</c:v>
                </c:pt>
                <c:pt idx="1">
                  <c:v>1444979.9443238922</c:v>
                </c:pt>
                <c:pt idx="2">
                  <c:v>1431706.1722664009</c:v>
                </c:pt>
                <c:pt idx="3">
                  <c:v>1444015.0669596686</c:v>
                </c:pt>
                <c:pt idx="4">
                  <c:v>1465168.8113368959</c:v>
                </c:pt>
                <c:pt idx="5">
                  <c:v>1485550.169481115</c:v>
                </c:pt>
                <c:pt idx="6">
                  <c:v>1500743.4304678184</c:v>
                </c:pt>
                <c:pt idx="7">
                  <c:v>1509869.9551548576</c:v>
                </c:pt>
                <c:pt idx="8">
                  <c:v>1514178.3259195308</c:v>
                </c:pt>
                <c:pt idx="9">
                  <c:v>1515889.0993428668</c:v>
                </c:pt>
                <c:pt idx="10">
                  <c:v>1517294.1618412603</c:v>
                </c:pt>
                <c:pt idx="11">
                  <c:v>1520110.6882451773</c:v>
                </c:pt>
                <c:pt idx="12">
                  <c:v>1525089.7033251505</c:v>
                </c:pt>
                <c:pt idx="13">
                  <c:v>1531879.2462649569</c:v>
                </c:pt>
                <c:pt idx="14">
                  <c:v>1539142.1380822323</c:v>
                </c:pt>
                <c:pt idx="15">
                  <c:v>1544928.3519957848</c:v>
                </c:pt>
                <c:pt idx="16">
                  <c:v>1547301.9867409095</c:v>
                </c:pt>
                <c:pt idx="17">
                  <c:v>1545222.8428311199</c:v>
                </c:pt>
                <c:pt idx="18">
                  <c:v>1539682.6017676294</c:v>
                </c:pt>
                <c:pt idx="19">
                  <c:v>1535095.608196035</c:v>
                </c:pt>
                <c:pt idx="20">
                  <c:v>1540944.2550097108</c:v>
                </c:pt>
              </c:numCache>
            </c:numRef>
          </c:yVal>
          <c:smooth val="0"/>
          <c:extLst>
            <c:ext xmlns:c16="http://schemas.microsoft.com/office/drawing/2014/chart" uri="{C3380CC4-5D6E-409C-BE32-E72D297353CC}">
              <c16:uniqueId val="{00000002-63DB-4DB4-89F2-1DCCE082E31A}"/>
            </c:ext>
          </c:extLst>
        </c:ser>
        <c:dLbls>
          <c:showLegendKey val="0"/>
          <c:showVal val="0"/>
          <c:showCatName val="0"/>
          <c:showSerName val="0"/>
          <c:showPercent val="0"/>
          <c:showBubbleSize val="0"/>
        </c:dLbls>
        <c:axId val="647759336"/>
        <c:axId val="647754416"/>
      </c:scatterChart>
      <c:valAx>
        <c:axId val="647759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7754416"/>
        <c:crosses val="autoZero"/>
        <c:crossBetween val="midCat"/>
      </c:valAx>
      <c:valAx>
        <c:axId val="647754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7759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8964</xdr:colOff>
      <xdr:row>16</xdr:row>
      <xdr:rowOff>66340</xdr:rowOff>
    </xdr:from>
    <xdr:to>
      <xdr:col>11</xdr:col>
      <xdr:colOff>358587</xdr:colOff>
      <xdr:row>38</xdr:row>
      <xdr:rowOff>107577</xdr:rowOff>
    </xdr:to>
    <xdr:graphicFrame macro="">
      <xdr:nvGraphicFramePr>
        <xdr:cNvPr id="2" name="グラフ 1">
          <a:extLst>
            <a:ext uri="{FF2B5EF4-FFF2-40B4-BE49-F238E27FC236}">
              <a16:creationId xmlns:a16="http://schemas.microsoft.com/office/drawing/2014/main" id="{99E59FDD-0C36-4BD1-889F-07B9F8D2D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68"/>
  <sheetViews>
    <sheetView tabSelected="1" topLeftCell="A37" zoomScaleNormal="100" workbookViewId="0">
      <selection activeCell="H8" sqref="H8"/>
    </sheetView>
  </sheetViews>
  <sheetFormatPr defaultRowHeight="12"/>
  <cols>
    <col min="1" max="1" width="2.8984375" style="1" customWidth="1"/>
    <col min="2" max="2" width="8.796875" style="1"/>
    <col min="3" max="3" width="11.5" style="1" bestFit="1" customWidth="1"/>
    <col min="4" max="4" width="12.5" style="1" bestFit="1" customWidth="1"/>
    <col min="5" max="7" width="12.3984375" style="1" bestFit="1" customWidth="1"/>
    <col min="8" max="8" width="12.5" style="1" bestFit="1" customWidth="1"/>
    <col min="9" max="9" width="11.5" style="1" bestFit="1" customWidth="1"/>
    <col min="10" max="16384" width="8.796875" style="1"/>
  </cols>
  <sheetData>
    <row r="1" spans="1:26">
      <c r="A1" s="1" t="s">
        <v>1</v>
      </c>
    </row>
    <row r="2" spans="1:26">
      <c r="B2" s="1" t="s">
        <v>9</v>
      </c>
    </row>
    <row r="3" spans="1:26">
      <c r="B3" s="1" t="s">
        <v>10</v>
      </c>
    </row>
    <row r="5" spans="1:26">
      <c r="B5" s="1" t="s">
        <v>4</v>
      </c>
    </row>
    <row r="6" spans="1:26">
      <c r="B6" s="1" t="s">
        <v>2</v>
      </c>
    </row>
    <row r="7" spans="1:26">
      <c r="B7" s="1" t="s">
        <v>3</v>
      </c>
    </row>
    <row r="8" spans="1:26">
      <c r="B8" s="1" t="s">
        <v>0</v>
      </c>
    </row>
    <row r="10" spans="1:26">
      <c r="C10" s="1">
        <v>1</v>
      </c>
      <c r="D10" s="1">
        <v>2</v>
      </c>
      <c r="E10" s="1">
        <v>3</v>
      </c>
      <c r="F10" s="1">
        <v>4</v>
      </c>
      <c r="G10" s="1">
        <v>5</v>
      </c>
      <c r="H10" s="1">
        <v>6</v>
      </c>
      <c r="I10" s="1">
        <v>7</v>
      </c>
      <c r="J10" s="1">
        <v>8</v>
      </c>
      <c r="K10" s="1">
        <v>9</v>
      </c>
      <c r="L10" s="1">
        <v>10</v>
      </c>
      <c r="M10" s="1">
        <v>11</v>
      </c>
      <c r="N10" s="1">
        <v>12</v>
      </c>
      <c r="O10" s="1">
        <v>13</v>
      </c>
      <c r="P10" s="1">
        <v>14</v>
      </c>
      <c r="Q10" s="1">
        <v>15</v>
      </c>
      <c r="R10" s="1">
        <v>16</v>
      </c>
      <c r="S10" s="1">
        <v>17</v>
      </c>
      <c r="T10" s="1">
        <v>18</v>
      </c>
      <c r="U10" s="1">
        <v>19</v>
      </c>
      <c r="V10" s="1">
        <v>20</v>
      </c>
      <c r="W10" s="1">
        <v>21</v>
      </c>
      <c r="X10" s="1">
        <v>22</v>
      </c>
      <c r="Y10" s="1">
        <v>23</v>
      </c>
      <c r="Z10" s="1">
        <v>24</v>
      </c>
    </row>
    <row r="11" spans="1:26">
      <c r="B11" s="1" t="s">
        <v>5</v>
      </c>
      <c r="C11" s="2">
        <v>170</v>
      </c>
      <c r="D11" s="2">
        <v>180</v>
      </c>
      <c r="E11" s="2">
        <v>190</v>
      </c>
      <c r="F11" s="2">
        <v>200</v>
      </c>
      <c r="G11" s="2">
        <v>210</v>
      </c>
      <c r="H11" s="2">
        <v>220</v>
      </c>
      <c r="I11" s="2">
        <v>230</v>
      </c>
      <c r="J11" s="2">
        <v>240</v>
      </c>
      <c r="K11" s="2">
        <v>250</v>
      </c>
      <c r="L11" s="2">
        <v>260</v>
      </c>
      <c r="M11" s="2">
        <v>270</v>
      </c>
      <c r="N11" s="2">
        <v>280</v>
      </c>
      <c r="O11" s="2">
        <v>290</v>
      </c>
      <c r="P11" s="2">
        <v>300</v>
      </c>
      <c r="Q11" s="2">
        <v>310</v>
      </c>
      <c r="R11" s="2">
        <v>320</v>
      </c>
      <c r="S11" s="2">
        <v>330</v>
      </c>
      <c r="T11" s="2">
        <v>340</v>
      </c>
      <c r="U11" s="2">
        <v>350</v>
      </c>
      <c r="V11" s="2">
        <v>360</v>
      </c>
      <c r="W11" s="2">
        <v>370</v>
      </c>
      <c r="X11" s="2">
        <v>380</v>
      </c>
      <c r="Y11" s="2">
        <v>390</v>
      </c>
      <c r="Z11" s="2">
        <v>400</v>
      </c>
    </row>
    <row r="12" spans="1:26">
      <c r="B12" s="1" t="s">
        <v>6</v>
      </c>
      <c r="C12" s="1">
        <v>49.070801034263127</v>
      </c>
      <c r="D12" s="1">
        <v>47.103996729804294</v>
      </c>
      <c r="E12" s="1">
        <v>45.437036699663167</v>
      </c>
      <c r="F12" s="1">
        <v>43.984762649219533</v>
      </c>
      <c r="G12" s="1">
        <v>42.695336723986088</v>
      </c>
      <c r="H12" s="1">
        <v>41.534532053662758</v>
      </c>
      <c r="I12" s="1">
        <v>40.478404311861425</v>
      </c>
      <c r="J12" s="1">
        <v>39.509459622912914</v>
      </c>
      <c r="K12" s="1">
        <v>38.614476916118804</v>
      </c>
      <c r="L12" s="1">
        <v>37.783189155376192</v>
      </c>
      <c r="M12" s="1">
        <v>37.007443434591607</v>
      </c>
      <c r="N12" s="1">
        <v>36.280643693596971</v>
      </c>
      <c r="O12" s="1">
        <v>35.597368171202731</v>
      </c>
      <c r="P12" s="1">
        <v>34.953099163939783</v>
      </c>
      <c r="Q12" s="1">
        <v>34.344027375333781</v>
      </c>
      <c r="R12" s="1">
        <v>33.766907223735359</v>
      </c>
      <c r="S12" s="1">
        <v>33.218947827473016</v>
      </c>
      <c r="T12" s="1">
        <v>32.69772951120467</v>
      </c>
      <c r="U12" s="1">
        <v>32.201138918810045</v>
      </c>
      <c r="V12" s="1">
        <v>31.72731792333775</v>
      </c>
      <c r="W12" s="1">
        <v>31.274622924304481</v>
      </c>
      <c r="X12" s="1">
        <v>30.841592073207835</v>
      </c>
      <c r="Y12" s="1">
        <v>30.426918625967289</v>
      </c>
      <c r="Z12" s="1">
        <v>30.029429084181743</v>
      </c>
    </row>
    <row r="14" spans="1:26">
      <c r="B14" s="1" t="s">
        <v>8</v>
      </c>
      <c r="C14" s="1">
        <v>0</v>
      </c>
      <c r="D14" s="1">
        <v>1</v>
      </c>
      <c r="E14" s="1">
        <v>2</v>
      </c>
      <c r="F14" s="1">
        <v>3</v>
      </c>
      <c r="G14" s="1">
        <v>4</v>
      </c>
      <c r="H14" s="1">
        <v>5</v>
      </c>
      <c r="I14" s="1">
        <v>6</v>
      </c>
    </row>
    <row r="15" spans="1:26">
      <c r="B15" s="1" t="s">
        <v>7</v>
      </c>
      <c r="C15" s="1">
        <f t="array" ref="C15:I15">多項式近似曲線を求める(C11:Z11,C12:Z12)</f>
        <v>288.68345370367524</v>
      </c>
      <c r="D15" s="1">
        <v>-4.2713793333047327</v>
      </c>
      <c r="E15" s="1">
        <v>3.2574328360018327E-2</v>
      </c>
      <c r="F15" s="1">
        <v>-1.3770700770455934E-4</v>
      </c>
      <c r="G15" s="1">
        <v>3.3121952922540644E-7</v>
      </c>
      <c r="H15" s="1">
        <v>-4.2583699494030031E-10</v>
      </c>
      <c r="I15" s="1">
        <v>2.2768766378783598E-13</v>
      </c>
    </row>
    <row r="17" spans="3:4">
      <c r="C17" s="1" t="s">
        <v>14</v>
      </c>
      <c r="D17" s="1" t="s">
        <v>13</v>
      </c>
    </row>
    <row r="18" spans="3:4">
      <c r="C18" s="1" t="s">
        <v>11</v>
      </c>
      <c r="D18" s="1" t="s">
        <v>12</v>
      </c>
    </row>
    <row r="19" spans="3:4">
      <c r="C19" s="1">
        <v>6</v>
      </c>
      <c r="D19" s="3">
        <v>1518982</v>
      </c>
    </row>
    <row r="20" spans="3:4">
      <c r="C20" s="1">
        <v>7</v>
      </c>
      <c r="D20" s="3">
        <v>1423792</v>
      </c>
    </row>
    <row r="21" spans="3:4">
      <c r="C21" s="1">
        <v>8</v>
      </c>
      <c r="D21" s="3">
        <v>1434572</v>
      </c>
    </row>
    <row r="22" spans="3:4">
      <c r="C22" s="1">
        <v>9</v>
      </c>
      <c r="D22" s="3">
        <v>1454632</v>
      </c>
    </row>
    <row r="23" spans="3:4">
      <c r="C23" s="1">
        <v>10</v>
      </c>
      <c r="D23" s="3">
        <v>1475342</v>
      </c>
    </row>
    <row r="24" spans="3:4">
      <c r="C24" s="1">
        <v>11</v>
      </c>
      <c r="D24" s="3">
        <v>1483655</v>
      </c>
    </row>
    <row r="25" spans="3:4">
      <c r="C25" s="1">
        <v>12</v>
      </c>
      <c r="D25" s="3">
        <v>1493398</v>
      </c>
    </row>
    <row r="26" spans="3:4">
      <c r="C26" s="1">
        <v>13</v>
      </c>
      <c r="D26" s="3">
        <v>1503480</v>
      </c>
    </row>
    <row r="27" spans="3:4">
      <c r="C27" s="1">
        <v>14</v>
      </c>
      <c r="D27" s="3">
        <v>1510662</v>
      </c>
    </row>
    <row r="28" spans="3:4">
      <c r="C28" s="1">
        <v>15</v>
      </c>
      <c r="D28" s="3">
        <v>1516155</v>
      </c>
    </row>
    <row r="29" spans="3:4">
      <c r="C29" s="1">
        <v>16</v>
      </c>
      <c r="D29" s="3">
        <v>1520267</v>
      </c>
    </row>
    <row r="30" spans="3:4">
      <c r="C30" s="1">
        <v>17</v>
      </c>
      <c r="D30" s="3">
        <v>1525393</v>
      </c>
    </row>
    <row r="31" spans="3:4">
      <c r="C31" s="1">
        <v>18</v>
      </c>
      <c r="D31" s="3">
        <v>1529817</v>
      </c>
    </row>
    <row r="32" spans="3:4">
      <c r="C32" s="1">
        <v>19</v>
      </c>
      <c r="D32" s="3">
        <v>1532428</v>
      </c>
    </row>
    <row r="33" spans="2:9">
      <c r="C33" s="1">
        <v>20</v>
      </c>
      <c r="D33" s="3">
        <v>1536433</v>
      </c>
    </row>
    <row r="34" spans="2:9">
      <c r="C34" s="1">
        <v>21</v>
      </c>
      <c r="D34" s="3">
        <v>1541214</v>
      </c>
    </row>
    <row r="35" spans="2:9">
      <c r="C35" s="1">
        <v>22</v>
      </c>
      <c r="D35" s="3">
        <v>1544200</v>
      </c>
    </row>
    <row r="36" spans="2:9">
      <c r="C36" s="1">
        <v>23</v>
      </c>
      <c r="D36" s="3">
        <v>1544496</v>
      </c>
    </row>
    <row r="37" spans="2:9">
      <c r="C37" s="1">
        <v>24</v>
      </c>
      <c r="D37" s="3">
        <v>1542128</v>
      </c>
    </row>
    <row r="38" spans="2:9">
      <c r="C38" s="1">
        <v>25</v>
      </c>
      <c r="D38" s="3">
        <v>1539751</v>
      </c>
    </row>
    <row r="39" spans="2:9">
      <c r="C39" s="1">
        <v>26</v>
      </c>
      <c r="D39" s="3">
        <v>1537864</v>
      </c>
    </row>
    <row r="41" spans="2:9">
      <c r="B41" s="1" t="s">
        <v>15</v>
      </c>
    </row>
    <row r="42" spans="2:9">
      <c r="B42" s="1" t="s">
        <v>16</v>
      </c>
    </row>
    <row r="43" spans="2:9">
      <c r="B43" s="1" t="s">
        <v>17</v>
      </c>
      <c r="C43" s="1">
        <v>0</v>
      </c>
      <c r="D43" s="1">
        <v>1</v>
      </c>
      <c r="E43" s="1">
        <v>2</v>
      </c>
      <c r="F43" s="1">
        <v>3</v>
      </c>
      <c r="G43" s="1">
        <v>4</v>
      </c>
      <c r="H43" s="1">
        <v>5</v>
      </c>
      <c r="I43" s="1">
        <v>6</v>
      </c>
    </row>
    <row r="44" spans="2:9">
      <c r="B44" s="1" t="s">
        <v>18</v>
      </c>
      <c r="C44" s="4">
        <f t="array" ref="C44:I44">多項式近似曲線を求める(C19:C39,D19:D39)</f>
        <v>6277366.7607466951</v>
      </c>
      <c r="D44" s="4">
        <v>-2113101.4241052098</v>
      </c>
      <c r="E44" s="4">
        <v>363573.61506625277</v>
      </c>
      <c r="F44" s="4">
        <v>-31696.834192163526</v>
      </c>
      <c r="G44" s="4">
        <v>1491.9493902672764</v>
      </c>
      <c r="H44" s="4">
        <v>-36.148201299682661</v>
      </c>
      <c r="I44" s="4">
        <v>0.35361520447604866</v>
      </c>
    </row>
    <row r="45" spans="2:9">
      <c r="B45" s="1" t="s">
        <v>19</v>
      </c>
    </row>
    <row r="46" spans="2:9">
      <c r="C46" s="1" t="s">
        <v>14</v>
      </c>
      <c r="D46" s="1" t="s">
        <v>20</v>
      </c>
    </row>
    <row r="47" spans="2:9">
      <c r="C47" s="1" t="s">
        <v>11</v>
      </c>
      <c r="D47" s="1" t="s">
        <v>12</v>
      </c>
    </row>
    <row r="48" spans="2:9">
      <c r="C48" s="1">
        <f>C19</f>
        <v>6</v>
      </c>
      <c r="D48" s="4">
        <f>$C$44+POWER($C48,$D$43)*$D$44+POWER($C48,$E$43)*$E$44+POWER($C48,$F$43)*$F$44+POWER($C48,$G$43)*$G$44+POWER($C48,$H$43)*$H$44+POWER($C48,$I$43)*$I$44</f>
        <v>1509868.440453307</v>
      </c>
      <c r="G48" s="4"/>
    </row>
    <row r="49" spans="3:4">
      <c r="C49" s="1">
        <f t="shared" ref="C49:C68" si="0">C20</f>
        <v>7</v>
      </c>
      <c r="D49" s="4">
        <f t="shared" ref="D49:D68" si="1">$C$44+POWER($C49,$D$43)*$D$44+POWER($C49,$E$43)*$E$44+POWER($C49,$F$43)*$F$44+POWER($C49,$G$43)*$G$44+POWER($C49,$H$43)*$H$44+POWER($C49,$I$43)*$I$44</f>
        <v>1444979.9443238922</v>
      </c>
    </row>
    <row r="50" spans="3:4">
      <c r="C50" s="1">
        <f t="shared" si="0"/>
        <v>8</v>
      </c>
      <c r="D50" s="4">
        <f t="shared" si="1"/>
        <v>1431706.1722664009</v>
      </c>
    </row>
    <row r="51" spans="3:4">
      <c r="C51" s="1">
        <f t="shared" si="0"/>
        <v>9</v>
      </c>
      <c r="D51" s="4">
        <f t="shared" si="1"/>
        <v>1444015.0669596686</v>
      </c>
    </row>
    <row r="52" spans="3:4">
      <c r="C52" s="1">
        <f t="shared" si="0"/>
        <v>10</v>
      </c>
      <c r="D52" s="4">
        <f t="shared" si="1"/>
        <v>1465168.8113368959</v>
      </c>
    </row>
    <row r="53" spans="3:4">
      <c r="C53" s="1">
        <f t="shared" si="0"/>
        <v>11</v>
      </c>
      <c r="D53" s="4">
        <f t="shared" si="1"/>
        <v>1485550.169481115</v>
      </c>
    </row>
    <row r="54" spans="3:4">
      <c r="C54" s="1">
        <f t="shared" si="0"/>
        <v>12</v>
      </c>
      <c r="D54" s="4">
        <f t="shared" si="1"/>
        <v>1500743.4304678184</v>
      </c>
    </row>
    <row r="55" spans="3:4">
      <c r="C55" s="1">
        <f t="shared" si="0"/>
        <v>13</v>
      </c>
      <c r="D55" s="4">
        <f t="shared" si="1"/>
        <v>1509869.9551548576</v>
      </c>
    </row>
    <row r="56" spans="3:4">
      <c r="C56" s="1">
        <f t="shared" si="0"/>
        <v>14</v>
      </c>
      <c r="D56" s="4">
        <f t="shared" si="1"/>
        <v>1514178.3259195308</v>
      </c>
    </row>
    <row r="57" spans="3:4">
      <c r="C57" s="1">
        <f t="shared" si="0"/>
        <v>15</v>
      </c>
      <c r="D57" s="4">
        <f t="shared" si="1"/>
        <v>1515889.0993428668</v>
      </c>
    </row>
    <row r="58" spans="3:4">
      <c r="C58" s="1">
        <f t="shared" si="0"/>
        <v>16</v>
      </c>
      <c r="D58" s="4">
        <f t="shared" si="1"/>
        <v>1517294.1618412603</v>
      </c>
    </row>
    <row r="59" spans="3:4">
      <c r="C59" s="1">
        <f t="shared" si="0"/>
        <v>17</v>
      </c>
      <c r="D59" s="4">
        <f t="shared" si="1"/>
        <v>1520110.6882451773</v>
      </c>
    </row>
    <row r="60" spans="3:4">
      <c r="C60" s="1">
        <f t="shared" si="0"/>
        <v>18</v>
      </c>
      <c r="D60" s="4">
        <f t="shared" si="1"/>
        <v>1525089.7033251505</v>
      </c>
    </row>
    <row r="61" spans="3:4">
      <c r="C61" s="1">
        <f t="shared" si="0"/>
        <v>19</v>
      </c>
      <c r="D61" s="4">
        <f t="shared" si="1"/>
        <v>1531879.2462649569</v>
      </c>
    </row>
    <row r="62" spans="3:4">
      <c r="C62" s="1">
        <f t="shared" si="0"/>
        <v>20</v>
      </c>
      <c r="D62" s="4">
        <f t="shared" si="1"/>
        <v>1539142.1380822323</v>
      </c>
    </row>
    <row r="63" spans="3:4">
      <c r="C63" s="1">
        <f t="shared" si="0"/>
        <v>21</v>
      </c>
      <c r="D63" s="4">
        <f t="shared" si="1"/>
        <v>1544928.3519957848</v>
      </c>
    </row>
    <row r="64" spans="3:4">
      <c r="C64" s="1">
        <f t="shared" si="0"/>
        <v>22</v>
      </c>
      <c r="D64" s="4">
        <f t="shared" si="1"/>
        <v>1547301.9867409095</v>
      </c>
    </row>
    <row r="65" spans="3:4">
      <c r="C65" s="1">
        <f t="shared" si="0"/>
        <v>23</v>
      </c>
      <c r="D65" s="4">
        <f t="shared" si="1"/>
        <v>1545222.8428311199</v>
      </c>
    </row>
    <row r="66" spans="3:4">
      <c r="C66" s="1">
        <f t="shared" si="0"/>
        <v>24</v>
      </c>
      <c r="D66" s="4">
        <f t="shared" si="1"/>
        <v>1539682.6017676294</v>
      </c>
    </row>
    <row r="67" spans="3:4">
      <c r="C67" s="1">
        <f t="shared" si="0"/>
        <v>25</v>
      </c>
      <c r="D67" s="4">
        <f t="shared" si="1"/>
        <v>1535095.608196035</v>
      </c>
    </row>
    <row r="68" spans="3:4">
      <c r="C68" s="1">
        <f t="shared" si="0"/>
        <v>26</v>
      </c>
      <c r="D68" s="4">
        <f t="shared" si="1"/>
        <v>1540944.2550097108</v>
      </c>
    </row>
  </sheetData>
  <phoneticPr fontId="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2018-05-06T09:48:40Z</dcterms:modified>
</cp:coreProperties>
</file>